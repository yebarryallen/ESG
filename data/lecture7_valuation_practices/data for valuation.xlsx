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g181/Desktop/2026imep/class 7/"/>
    </mc:Choice>
  </mc:AlternateContent>
  <xr:revisionPtr revIDLastSave="0" documentId="13_ncr:1_{5BA46A1C-533C-1A4B-B32C-2856F83DECD1}" xr6:coauthVersionLast="47" xr6:coauthVersionMax="47" xr10:uidLastSave="{00000000-0000-0000-0000-000000000000}"/>
  <bookViews>
    <workbookView xWindow="7660" yWindow="760" windowWidth="22860" windowHeight="17800" xr2:uid="{F2DCA567-198C-EF41-9D4A-F1D21F6D2666}"/>
  </bookViews>
  <sheets>
    <sheet name="Firm's Financial Data" sheetId="1" r:id="rId1"/>
    <sheet name="Assumption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3" l="1"/>
  <c r="C22" i="3"/>
  <c r="C23" i="3" s="1"/>
  <c r="C24" i="3" s="1"/>
  <c r="C25" i="3" s="1"/>
  <c r="C26" i="3" s="1"/>
  <c r="C27" i="3" s="1"/>
  <c r="C28" i="3" s="1"/>
  <c r="C29" i="3" s="1"/>
  <c r="C30" i="3" s="1"/>
  <c r="B16" i="1"/>
  <c r="B8" i="1"/>
  <c r="B5" i="1"/>
</calcChain>
</file>

<file path=xl/sharedStrings.xml><?xml version="1.0" encoding="utf-8"?>
<sst xmlns="http://schemas.openxmlformats.org/spreadsheetml/2006/main" count="76" uniqueCount="62">
  <si>
    <t xml:space="preserve">Risk-free rate </t>
  </si>
  <si>
    <t xml:space="preserve">U.S. 10-year Treasury </t>
  </si>
  <si>
    <t>Market return</t>
  </si>
  <si>
    <t>S&amp;P 500 Index</t>
  </si>
  <si>
    <t xml:space="preserve">Equity risk premium </t>
  </si>
  <si>
    <t>Equal to the difference between Market return and Risk-free rate</t>
  </si>
  <si>
    <t>Beta</t>
  </si>
  <si>
    <t>Estimated by the regression of the firm’s excess return against market excess return</t>
  </si>
  <si>
    <t>Calcualted by CAPM</t>
  </si>
  <si>
    <t xml:space="preserve">Market-value-weighted average of all outstanding corporate bonds </t>
  </si>
  <si>
    <t>Common Stock Equity in B/S (Unit: billion)</t>
  </si>
  <si>
    <t>Total Debt in B/S (Unit: billion)</t>
  </si>
  <si>
    <t>Balance Sheet (B/S)</t>
  </si>
  <si>
    <t>Equity Value (E)</t>
  </si>
  <si>
    <t>Debt Value (D)</t>
  </si>
  <si>
    <t>Total Value (V)</t>
  </si>
  <si>
    <t>V=E+D</t>
  </si>
  <si>
    <t>Value</t>
  </si>
  <si>
    <t>Cost of Capital (r)</t>
  </si>
  <si>
    <t>Cost of Equity (re)</t>
  </si>
  <si>
    <t>Cost of Debt (rd)</t>
  </si>
  <si>
    <t>r=E/V*re+D/V*rd</t>
  </si>
  <si>
    <t>Discount rate beyond forecast period</t>
  </si>
  <si>
    <t>Average cost of capital observed for mature automotive companies</t>
  </si>
  <si>
    <t xml:space="preserve">Value </t>
  </si>
  <si>
    <t>Explanation</t>
  </si>
  <si>
    <t>Terminal growth rate</t>
  </si>
  <si>
    <t>Aligned with the risk-free rate</t>
  </si>
  <si>
    <t>Tax rate</t>
  </si>
  <si>
    <t>Income Statement</t>
  </si>
  <si>
    <t>Total Revenue</t>
  </si>
  <si>
    <t>Automotive</t>
  </si>
  <si>
    <t>Energy</t>
  </si>
  <si>
    <t>Software</t>
  </si>
  <si>
    <t>Robotaxi</t>
  </si>
  <si>
    <t>FY2025</t>
  </si>
  <si>
    <t>Revenue by Segment</t>
  </si>
  <si>
    <t>Gross Margin</t>
  </si>
  <si>
    <t>Gross Margin by Segment</t>
  </si>
  <si>
    <t>Total operating expense</t>
  </si>
  <si>
    <t>Selling, general and administrative</t>
  </si>
  <si>
    <t>Restructuring and other</t>
  </si>
  <si>
    <t>As a percentage of revenues</t>
  </si>
  <si>
    <t>Operating Expense by Segment</t>
  </si>
  <si>
    <t>Research and Development expense</t>
  </si>
  <si>
    <t>Forecast Period</t>
  </si>
  <si>
    <t>Sales to Capital</t>
  </si>
  <si>
    <t>the same with current value (Effective tax rate )</t>
  </si>
  <si>
    <t>Part 1 FCF</t>
  </si>
  <si>
    <t>Target Value of Revenue(2035)</t>
  </si>
  <si>
    <t>Target value is benchmarked against global leaders</t>
  </si>
  <si>
    <t>Target Value of Gross Margin (2035)</t>
  </si>
  <si>
    <t>Gross margin slightly increases (vertical integration and scale efficiencies)</t>
  </si>
  <si>
    <t>Margin improves as storage volumes grow and battery costs decline</t>
  </si>
  <si>
    <t>Higher margins ( low incremental costs, consistent with scalable subscription businesses)</t>
  </si>
  <si>
    <t>Margin rises as driver costs are eliminated</t>
  </si>
  <si>
    <t xml:space="preserve">Reinvestment Forecast </t>
  </si>
  <si>
    <t xml:space="preserve">Revenue Forecast </t>
  </si>
  <si>
    <t xml:space="preserve">EBIT Forecast </t>
  </si>
  <si>
    <t>Part 3 Terminal Value</t>
  </si>
  <si>
    <t>Part 2 WACC (cost of capital)</t>
  </si>
  <si>
    <t>Proxy indicator/Estimated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</si>
</sst>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%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0" fontId="2" fillId="0" borderId="0" xfId="1" applyNumberFormat="1" applyFont="1" applyBorder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9" fontId="2" fillId="0" borderId="0" xfId="0" applyNumberFormat="1" applyFont="1" applyAlignment="1">
      <alignment horizontal="left" vertical="center"/>
    </xf>
    <xf numFmtId="10" fontId="2" fillId="0" borderId="0" xfId="1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2" fontId="2" fillId="0" borderId="0" xfId="0" applyNumberFormat="1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10" fontId="2" fillId="0" borderId="0" xfId="0" applyNumberFormat="1" applyFont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9" fontId="2" fillId="0" borderId="0" xfId="0" applyNumberFormat="1" applyFont="1" applyBorder="1" applyAlignment="1">
      <alignment horizontal="center" vertical="center"/>
    </xf>
    <xf numFmtId="10" fontId="2" fillId="0" borderId="10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73" fontId="2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0" fontId="3" fillId="0" borderId="10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10" fontId="2" fillId="0" borderId="10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0760E-3000-CF44-86DE-AD20A15BA499}">
  <dimension ref="A1:C25"/>
  <sheetViews>
    <sheetView tabSelected="1" workbookViewId="0">
      <selection activeCell="C38" sqref="C38"/>
    </sheetView>
  </sheetViews>
  <sheetFormatPr baseColWidth="10" defaultRowHeight="16" x14ac:dyDescent="0.2"/>
  <cols>
    <col min="1" max="1" width="36.83203125" style="10" customWidth="1"/>
    <col min="2" max="2" width="10.83203125" style="10"/>
    <col min="3" max="3" width="40" style="10" customWidth="1"/>
    <col min="4" max="16384" width="10.83203125" style="10"/>
  </cols>
  <sheetData>
    <row r="1" spans="1:3" s="10" customFormat="1" x14ac:dyDescent="0.2">
      <c r="A1" s="10" t="s">
        <v>35</v>
      </c>
    </row>
    <row r="2" spans="1:3" s="10" customFormat="1" x14ac:dyDescent="0.2">
      <c r="A2" s="11" t="s">
        <v>12</v>
      </c>
    </row>
    <row r="3" spans="1:3" s="10" customFormat="1" x14ac:dyDescent="0.2">
      <c r="A3" s="12" t="s">
        <v>13</v>
      </c>
      <c r="B3" s="13">
        <v>0.82</v>
      </c>
      <c r="C3" s="10" t="s">
        <v>10</v>
      </c>
    </row>
    <row r="4" spans="1:3" s="10" customFormat="1" x14ac:dyDescent="0.2">
      <c r="A4" s="12" t="s">
        <v>14</v>
      </c>
      <c r="B4" s="13">
        <v>0.14000000000000001</v>
      </c>
      <c r="C4" s="10" t="s">
        <v>11</v>
      </c>
    </row>
    <row r="5" spans="1:3" s="10" customFormat="1" x14ac:dyDescent="0.2">
      <c r="A5" s="10" t="s">
        <v>15</v>
      </c>
      <c r="B5" s="10">
        <f>B3+B4</f>
        <v>0.96</v>
      </c>
      <c r="C5" s="10" t="s">
        <v>16</v>
      </c>
    </row>
    <row r="7" spans="1:3" s="10" customFormat="1" x14ac:dyDescent="0.2">
      <c r="A7" s="11" t="s">
        <v>29</v>
      </c>
    </row>
    <row r="8" spans="1:3" s="10" customFormat="1" x14ac:dyDescent="0.2">
      <c r="A8" s="12" t="s">
        <v>30</v>
      </c>
      <c r="B8" s="14">
        <f>B9+B10+B11+B12</f>
        <v>94.83</v>
      </c>
    </row>
    <row r="9" spans="1:3" s="10" customFormat="1" x14ac:dyDescent="0.2">
      <c r="A9" s="15" t="s">
        <v>31</v>
      </c>
      <c r="B9" s="15">
        <v>69.53</v>
      </c>
      <c r="C9" s="16" t="s">
        <v>36</v>
      </c>
    </row>
    <row r="10" spans="1:3" s="10" customFormat="1" x14ac:dyDescent="0.2">
      <c r="A10" s="15" t="s">
        <v>32</v>
      </c>
      <c r="B10" s="15">
        <v>12.77</v>
      </c>
      <c r="C10" s="16"/>
    </row>
    <row r="11" spans="1:3" s="10" customFormat="1" x14ac:dyDescent="0.2">
      <c r="A11" s="15" t="s">
        <v>33</v>
      </c>
      <c r="B11" s="10">
        <v>12.53</v>
      </c>
      <c r="C11" s="16"/>
    </row>
    <row r="12" spans="1:3" s="10" customFormat="1" x14ac:dyDescent="0.2">
      <c r="A12" s="15" t="s">
        <v>34</v>
      </c>
      <c r="B12" s="10">
        <v>0</v>
      </c>
      <c r="C12" s="16"/>
    </row>
    <row r="13" spans="1:3" s="10" customFormat="1" x14ac:dyDescent="0.2">
      <c r="A13" s="12" t="s">
        <v>37</v>
      </c>
      <c r="B13" s="17">
        <v>0.18</v>
      </c>
    </row>
    <row r="14" spans="1:3" s="10" customFormat="1" x14ac:dyDescent="0.2">
      <c r="A14" s="15" t="s">
        <v>31</v>
      </c>
      <c r="B14" s="18">
        <v>0.17799999999999999</v>
      </c>
      <c r="C14" s="16" t="s">
        <v>38</v>
      </c>
    </row>
    <row r="15" spans="1:3" s="10" customFormat="1" x14ac:dyDescent="0.2">
      <c r="A15" s="15" t="s">
        <v>32</v>
      </c>
      <c r="B15" s="18">
        <v>0.29799999999999999</v>
      </c>
      <c r="C15" s="16"/>
    </row>
    <row r="16" spans="1:3" s="10" customFormat="1" x14ac:dyDescent="0.2">
      <c r="A16" s="15" t="s">
        <v>33</v>
      </c>
      <c r="B16" s="18">
        <f>0.075</f>
        <v>7.4999999999999997E-2</v>
      </c>
      <c r="C16" s="16"/>
    </row>
    <row r="17" spans="1:3" s="10" customFormat="1" x14ac:dyDescent="0.2">
      <c r="A17" s="15" t="s">
        <v>34</v>
      </c>
      <c r="B17" s="10">
        <v>0</v>
      </c>
      <c r="C17" s="16"/>
    </row>
    <row r="18" spans="1:3" s="10" customFormat="1" x14ac:dyDescent="0.2">
      <c r="A18" s="19" t="s">
        <v>39</v>
      </c>
    </row>
    <row r="19" spans="1:3" s="10" customFormat="1" ht="19" customHeight="1" x14ac:dyDescent="0.2">
      <c r="A19" s="20" t="s">
        <v>44</v>
      </c>
      <c r="B19" s="21">
        <v>6.4109999999999996</v>
      </c>
      <c r="C19" s="16" t="s">
        <v>43</v>
      </c>
    </row>
    <row r="20" spans="1:3" s="10" customFormat="1" x14ac:dyDescent="0.2">
      <c r="A20" s="22" t="s">
        <v>42</v>
      </c>
      <c r="B20" s="23">
        <v>6.7599999999999993E-2</v>
      </c>
      <c r="C20" s="16"/>
    </row>
    <row r="21" spans="1:3" s="10" customFormat="1" ht="21" customHeight="1" x14ac:dyDescent="0.2">
      <c r="A21" s="24" t="s">
        <v>40</v>
      </c>
      <c r="B21" s="21">
        <v>5.8339999999999996</v>
      </c>
      <c r="C21" s="16"/>
    </row>
    <row r="22" spans="1:3" s="10" customFormat="1" x14ac:dyDescent="0.2">
      <c r="A22" s="22" t="s">
        <v>42</v>
      </c>
      <c r="B22" s="23">
        <v>6.1499999999999999E-2</v>
      </c>
      <c r="C22" s="16"/>
    </row>
    <row r="23" spans="1:3" s="10" customFormat="1" ht="17" x14ac:dyDescent="0.2">
      <c r="A23" s="24" t="s">
        <v>41</v>
      </c>
      <c r="B23" s="21">
        <v>0.49399999999999999</v>
      </c>
      <c r="C23" s="16"/>
    </row>
    <row r="24" spans="1:3" s="10" customFormat="1" x14ac:dyDescent="0.2">
      <c r="A24" s="22" t="s">
        <v>42</v>
      </c>
      <c r="B24" s="18">
        <v>5.1999999999999998E-3</v>
      </c>
      <c r="C24" s="16"/>
    </row>
    <row r="25" spans="1:3" s="10" customFormat="1" x14ac:dyDescent="0.2">
      <c r="A25" s="25"/>
    </row>
  </sheetData>
  <mergeCells count="3">
    <mergeCell ref="C9:C12"/>
    <mergeCell ref="C14:C17"/>
    <mergeCell ref="C19:C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969D3-4637-5749-8647-8D91169F89AC}">
  <dimension ref="A1:D44"/>
  <sheetViews>
    <sheetView workbookViewId="0">
      <selection activeCell="C46" sqref="C46"/>
    </sheetView>
  </sheetViews>
  <sheetFormatPr baseColWidth="10" defaultRowHeight="16" x14ac:dyDescent="0.2"/>
  <cols>
    <col min="1" max="1" width="35.1640625" style="1" customWidth="1"/>
    <col min="2" max="2" width="12.1640625" style="1" customWidth="1"/>
    <col min="3" max="3" width="81.1640625" style="10" customWidth="1"/>
    <col min="4" max="16384" width="10.83203125" style="1"/>
  </cols>
  <sheetData>
    <row r="1" spans="1:3" ht="16" customHeight="1" x14ac:dyDescent="0.2">
      <c r="A1" s="28" t="s">
        <v>48</v>
      </c>
      <c r="B1" s="2"/>
      <c r="C1" s="15"/>
    </row>
    <row r="2" spans="1:3" s="2" customFormat="1" ht="16" customHeight="1" x14ac:dyDescent="0.2">
      <c r="B2" s="1" t="s">
        <v>24</v>
      </c>
      <c r="C2" s="10" t="s">
        <v>25</v>
      </c>
    </row>
    <row r="3" spans="1:3" x14ac:dyDescent="0.2">
      <c r="A3" s="29" t="s">
        <v>57</v>
      </c>
      <c r="B3" s="27"/>
      <c r="C3" s="41"/>
    </row>
    <row r="4" spans="1:3" x14ac:dyDescent="0.2">
      <c r="A4" s="30" t="s">
        <v>49</v>
      </c>
      <c r="B4" s="5"/>
      <c r="C4" s="42"/>
    </row>
    <row r="5" spans="1:3" ht="19" customHeight="1" x14ac:dyDescent="0.2">
      <c r="A5" s="3" t="s">
        <v>31</v>
      </c>
      <c r="B5" s="4">
        <v>300</v>
      </c>
      <c r="C5" s="43" t="s">
        <v>50</v>
      </c>
    </row>
    <row r="6" spans="1:3" x14ac:dyDescent="0.2">
      <c r="A6" s="3" t="s">
        <v>32</v>
      </c>
      <c r="B6" s="4">
        <v>80</v>
      </c>
      <c r="C6" s="43"/>
    </row>
    <row r="7" spans="1:3" x14ac:dyDescent="0.2">
      <c r="A7" s="3" t="s">
        <v>33</v>
      </c>
      <c r="B7" s="5">
        <v>40</v>
      </c>
      <c r="C7" s="43"/>
    </row>
    <row r="8" spans="1:3" x14ac:dyDescent="0.2">
      <c r="A8" s="6" t="s">
        <v>34</v>
      </c>
      <c r="B8" s="7">
        <v>80</v>
      </c>
      <c r="C8" s="44"/>
    </row>
    <row r="10" spans="1:3" x14ac:dyDescent="0.2">
      <c r="A10" s="29" t="s">
        <v>58</v>
      </c>
      <c r="B10" s="27"/>
      <c r="C10" s="41"/>
    </row>
    <row r="11" spans="1:3" x14ac:dyDescent="0.2">
      <c r="A11" s="30" t="s">
        <v>51</v>
      </c>
      <c r="B11" s="31"/>
      <c r="C11" s="45"/>
    </row>
    <row r="12" spans="1:3" x14ac:dyDescent="0.2">
      <c r="A12" s="3" t="s">
        <v>31</v>
      </c>
      <c r="B12" s="8">
        <v>0.2</v>
      </c>
      <c r="C12" s="42" t="s">
        <v>52</v>
      </c>
    </row>
    <row r="13" spans="1:3" x14ac:dyDescent="0.2">
      <c r="A13" s="3" t="s">
        <v>32</v>
      </c>
      <c r="B13" s="8">
        <v>0.38</v>
      </c>
      <c r="C13" s="42" t="s">
        <v>53</v>
      </c>
    </row>
    <row r="14" spans="1:3" x14ac:dyDescent="0.2">
      <c r="A14" s="3" t="s">
        <v>33</v>
      </c>
      <c r="B14" s="8">
        <v>0.22</v>
      </c>
      <c r="C14" s="42" t="s">
        <v>54</v>
      </c>
    </row>
    <row r="15" spans="1:3" x14ac:dyDescent="0.2">
      <c r="A15" s="6" t="s">
        <v>34</v>
      </c>
      <c r="B15" s="32">
        <v>0.25</v>
      </c>
      <c r="C15" s="46" t="s">
        <v>55</v>
      </c>
    </row>
    <row r="16" spans="1:3" x14ac:dyDescent="0.2">
      <c r="A16" s="4"/>
      <c r="B16" s="8"/>
      <c r="C16" s="25"/>
    </row>
    <row r="17" spans="1:3" x14ac:dyDescent="0.2">
      <c r="A17" s="33" t="s">
        <v>28</v>
      </c>
      <c r="B17" s="34">
        <v>0.24</v>
      </c>
      <c r="C17" s="47" t="s">
        <v>47</v>
      </c>
    </row>
    <row r="18" spans="1:3" x14ac:dyDescent="0.2">
      <c r="B18" s="9"/>
    </row>
    <row r="19" spans="1:3" x14ac:dyDescent="0.2">
      <c r="A19" s="29" t="s">
        <v>56</v>
      </c>
      <c r="B19" s="27"/>
      <c r="C19" s="41"/>
    </row>
    <row r="20" spans="1:3" x14ac:dyDescent="0.2">
      <c r="A20" s="3"/>
      <c r="B20" s="5"/>
      <c r="C20" s="42" t="s">
        <v>45</v>
      </c>
    </row>
    <row r="21" spans="1:3" x14ac:dyDescent="0.2">
      <c r="A21" s="30" t="s">
        <v>46</v>
      </c>
      <c r="B21" s="5">
        <v>5</v>
      </c>
      <c r="C21" s="42">
        <v>1</v>
      </c>
    </row>
    <row r="22" spans="1:3" x14ac:dyDescent="0.2">
      <c r="A22" s="30"/>
      <c r="B22" s="5">
        <v>5</v>
      </c>
      <c r="C22" s="42">
        <f>C21+1</f>
        <v>2</v>
      </c>
    </row>
    <row r="23" spans="1:3" x14ac:dyDescent="0.2">
      <c r="A23" s="30"/>
      <c r="B23" s="5">
        <v>4</v>
      </c>
      <c r="C23" s="42">
        <f t="shared" ref="C23:C30" si="0">C22+1</f>
        <v>3</v>
      </c>
    </row>
    <row r="24" spans="1:3" x14ac:dyDescent="0.2">
      <c r="A24" s="30"/>
      <c r="B24" s="5">
        <v>4</v>
      </c>
      <c r="C24" s="42">
        <f t="shared" si="0"/>
        <v>4</v>
      </c>
    </row>
    <row r="25" spans="1:3" x14ac:dyDescent="0.2">
      <c r="A25" s="30"/>
      <c r="B25" s="5">
        <v>3</v>
      </c>
      <c r="C25" s="42">
        <f t="shared" si="0"/>
        <v>5</v>
      </c>
    </row>
    <row r="26" spans="1:3" x14ac:dyDescent="0.2">
      <c r="A26" s="30"/>
      <c r="B26" s="5">
        <v>2</v>
      </c>
      <c r="C26" s="42">
        <f t="shared" si="0"/>
        <v>6</v>
      </c>
    </row>
    <row r="27" spans="1:3" x14ac:dyDescent="0.2">
      <c r="A27" s="30"/>
      <c r="B27" s="5">
        <v>2</v>
      </c>
      <c r="C27" s="42">
        <f t="shared" si="0"/>
        <v>7</v>
      </c>
    </row>
    <row r="28" spans="1:3" x14ac:dyDescent="0.2">
      <c r="A28" s="30"/>
      <c r="B28" s="5">
        <v>2</v>
      </c>
      <c r="C28" s="42">
        <f t="shared" si="0"/>
        <v>8</v>
      </c>
    </row>
    <row r="29" spans="1:3" x14ac:dyDescent="0.2">
      <c r="A29" s="30"/>
      <c r="B29" s="5">
        <v>2</v>
      </c>
      <c r="C29" s="42">
        <f t="shared" si="0"/>
        <v>9</v>
      </c>
    </row>
    <row r="30" spans="1:3" x14ac:dyDescent="0.2">
      <c r="A30" s="35"/>
      <c r="B30" s="7">
        <v>2</v>
      </c>
      <c r="C30" s="46">
        <f t="shared" si="0"/>
        <v>10</v>
      </c>
    </row>
    <row r="32" spans="1:3" x14ac:dyDescent="0.2">
      <c r="A32" s="28" t="s">
        <v>60</v>
      </c>
    </row>
    <row r="33" spans="1:4" x14ac:dyDescent="0.2">
      <c r="A33" s="26"/>
      <c r="B33" s="27" t="s">
        <v>17</v>
      </c>
      <c r="C33" s="41" t="s">
        <v>61</v>
      </c>
    </row>
    <row r="34" spans="1:4" x14ac:dyDescent="0.2">
      <c r="A34" s="30" t="s">
        <v>0</v>
      </c>
      <c r="B34" s="36">
        <v>4.0750000000000001E-2</v>
      </c>
      <c r="C34" s="42" t="s">
        <v>1</v>
      </c>
      <c r="D34" s="5"/>
    </row>
    <row r="35" spans="1:4" x14ac:dyDescent="0.2">
      <c r="A35" s="30" t="s">
        <v>2</v>
      </c>
      <c r="B35" s="36">
        <v>0.12</v>
      </c>
      <c r="C35" s="42" t="s">
        <v>3</v>
      </c>
      <c r="D35" s="5"/>
    </row>
    <row r="36" spans="1:4" x14ac:dyDescent="0.2">
      <c r="A36" s="30" t="s">
        <v>4</v>
      </c>
      <c r="B36" s="36">
        <f>B35-B34</f>
        <v>7.9249999999999987E-2</v>
      </c>
      <c r="C36" s="42" t="s">
        <v>5</v>
      </c>
    </row>
    <row r="37" spans="1:4" x14ac:dyDescent="0.2">
      <c r="A37" s="30" t="s">
        <v>6</v>
      </c>
      <c r="B37" s="37">
        <v>2.0499999999999998</v>
      </c>
      <c r="C37" s="42" t="s">
        <v>7</v>
      </c>
    </row>
    <row r="38" spans="1:4" x14ac:dyDescent="0.2">
      <c r="A38" s="30" t="s">
        <v>19</v>
      </c>
      <c r="B38" s="36">
        <v>0.2868</v>
      </c>
      <c r="C38" s="42" t="s">
        <v>8</v>
      </c>
    </row>
    <row r="39" spans="1:4" x14ac:dyDescent="0.2">
      <c r="A39" s="30" t="s">
        <v>20</v>
      </c>
      <c r="B39" s="36">
        <v>0.05</v>
      </c>
      <c r="C39" s="42" t="s">
        <v>9</v>
      </c>
    </row>
    <row r="40" spans="1:4" x14ac:dyDescent="0.2">
      <c r="A40" s="35" t="s">
        <v>18</v>
      </c>
      <c r="B40" s="38">
        <v>9.2899999999999996E-2</v>
      </c>
      <c r="C40" s="46" t="s">
        <v>21</v>
      </c>
    </row>
    <row r="42" spans="1:4" x14ac:dyDescent="0.2">
      <c r="A42" s="28" t="s">
        <v>59</v>
      </c>
      <c r="B42" s="2"/>
      <c r="C42" s="15"/>
    </row>
    <row r="43" spans="1:4" x14ac:dyDescent="0.2">
      <c r="A43" s="26" t="s">
        <v>26</v>
      </c>
      <c r="B43" s="39">
        <v>4.2200000000000001E-2</v>
      </c>
      <c r="C43" s="41" t="s">
        <v>27</v>
      </c>
    </row>
    <row r="44" spans="1:4" x14ac:dyDescent="0.2">
      <c r="A44" s="35" t="s">
        <v>22</v>
      </c>
      <c r="B44" s="40">
        <v>8.3500000000000005E-2</v>
      </c>
      <c r="C44" s="46" t="s">
        <v>23</v>
      </c>
    </row>
  </sheetData>
  <mergeCells count="1">
    <mergeCell ref="C5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Firm's Financial Data</vt:lpstr>
      <vt:lpstr>Assumption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2026-02-25T02:39:57Z</dcterms:created>
  <dcterms:modified xsi:type="dcterms:W3CDTF">2026-02-25T03:29:22Z</dcterms:modified>
</cp:coreProperties>
</file>